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hf\Work\SUDA-CDA\"/>
    </mc:Choice>
  </mc:AlternateContent>
  <xr:revisionPtr revIDLastSave="0" documentId="13_ncr:1_{64386A67-4372-4647-8FF6-7085D6BD9B33}" xr6:coauthVersionLast="47" xr6:coauthVersionMax="47" xr10:uidLastSave="{00000000-0000-0000-0000-000000000000}"/>
  <bookViews>
    <workbookView xWindow="-108" yWindow="-108" windowWidth="23256" windowHeight="12456" xr2:uid="{265A3B15-1C43-409F-9841-5AEBC57DE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R8" i="1"/>
  <c r="M16" i="1"/>
  <c r="K16" i="1"/>
  <c r="L16" i="1"/>
  <c r="R3" i="1"/>
  <c r="R4" i="1"/>
  <c r="R5" i="1"/>
  <c r="R6" i="1"/>
  <c r="R7" i="1"/>
  <c r="R10" i="1"/>
  <c r="R12" i="1"/>
  <c r="R11" i="1"/>
  <c r="R9" i="1"/>
  <c r="R13" i="1"/>
  <c r="R14" i="1"/>
  <c r="R15" i="1"/>
  <c r="R2" i="1"/>
  <c r="Q16" i="1"/>
  <c r="L10" i="1" s="1"/>
  <c r="P16" i="1"/>
  <c r="K4" i="1" s="1"/>
  <c r="L8" i="1" l="1"/>
  <c r="K8" i="1"/>
  <c r="L5" i="1"/>
  <c r="K10" i="1"/>
  <c r="L6" i="1"/>
  <c r="K2" i="1"/>
  <c r="L11" i="1"/>
  <c r="K6" i="1"/>
  <c r="L3" i="1"/>
  <c r="K11" i="1"/>
  <c r="K3" i="1"/>
  <c r="R16" i="1"/>
  <c r="M12" i="1" s="1"/>
  <c r="L2" i="1"/>
  <c r="K13" i="1"/>
  <c r="L12" i="1"/>
  <c r="K5" i="1"/>
  <c r="K14" i="1"/>
  <c r="K12" i="1"/>
  <c r="L7" i="1"/>
  <c r="K15" i="1"/>
  <c r="L9" i="1"/>
  <c r="K7" i="1"/>
  <c r="L4" i="1"/>
  <c r="K9" i="1"/>
  <c r="M8" i="1" l="1"/>
  <c r="M7" i="1"/>
  <c r="M3" i="1"/>
  <c r="M14" i="1"/>
  <c r="M15" i="1"/>
  <c r="M2" i="1"/>
  <c r="M10" i="1"/>
  <c r="M4" i="1"/>
  <c r="M9" i="1"/>
  <c r="M5" i="1"/>
  <c r="M13" i="1"/>
  <c r="M6" i="1"/>
  <c r="M11" i="1"/>
</calcChain>
</file>

<file path=xl/sharedStrings.xml><?xml version="1.0" encoding="utf-8"?>
<sst xmlns="http://schemas.openxmlformats.org/spreadsheetml/2006/main" count="83" uniqueCount="83">
  <si>
    <t>Group</t>
  </si>
  <si>
    <t>Subgroup</t>
  </si>
  <si>
    <t>Characteristics</t>
  </si>
  <si>
    <t>Composition</t>
  </si>
  <si>
    <t>1L</t>
  </si>
  <si>
    <t>1M</t>
  </si>
  <si>
    <t>1H</t>
  </si>
  <si>
    <t>1S</t>
  </si>
  <si>
    <t>2W</t>
  </si>
  <si>
    <t>2O</t>
  </si>
  <si>
    <t>Encoding Region(s)</t>
  </si>
  <si>
    <t>2, 5</t>
  </si>
  <si>
    <t>1, 2</t>
  </si>
  <si>
    <t>3W</t>
  </si>
  <si>
    <t>3K</t>
  </si>
  <si>
    <t>3L</t>
  </si>
  <si>
    <t>3C</t>
  </si>
  <si>
    <t>3M</t>
  </si>
  <si>
    <t>Water clusters w/wo minor sodium and its water clusters.</t>
  </si>
  <si>
    <t>Highest mass water cluster at 73 AMU w/wo target species, hydrogen, and rhodiated water</t>
  </si>
  <si>
    <t>3, 4</t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</si>
  <si>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 w/wo minor Na</t>
    </r>
  </si>
  <si>
    <t>Target species and water at 19 AMU. Rare 37 AMU water cluster. Often hydrogen.</t>
  </si>
  <si>
    <t>Peak at 78 AMU, periodic organic fragments at high masses</t>
  </si>
  <si>
    <t>Broad-peaked water clusters with 27-29 AMU peak(s), plus minor sodium and its water clusters</t>
  </si>
  <si>
    <t>4S</t>
  </si>
  <si>
    <r>
      <t>C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, high-mass organics</t>
    </r>
  </si>
  <si>
    <t>4R</t>
  </si>
  <si>
    <t>4I</t>
  </si>
  <si>
    <t>8, 9</t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</si>
  <si>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O, minor Na w/ [HCO]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and/or [HCN]+ radicals</t>
    </r>
  </si>
  <si>
    <t>Strong potassium peak w/wo potassiated hydroxide clusters</t>
  </si>
  <si>
    <t>11, 14</t>
  </si>
  <si>
    <t>Uncategorized</t>
  </si>
  <si>
    <r>
      <rPr>
        <b/>
        <sz val="11"/>
        <color theme="1"/>
        <rFont val="Aptos Narrow"/>
        <family val="2"/>
        <scheme val="minor"/>
      </rPr>
      <t>8636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(+853)</t>
    </r>
  </si>
  <si>
    <r>
      <rPr>
        <b/>
        <sz val="11"/>
        <color theme="1"/>
        <rFont val="Aptos Narrow"/>
        <family val="2"/>
        <scheme val="minor"/>
      </rPr>
      <t xml:space="preserve">3725 </t>
    </r>
    <r>
      <rPr>
        <i/>
        <sz val="11"/>
        <color theme="1"/>
        <rFont val="Aptos Narrow"/>
        <family val="2"/>
        <scheme val="minor"/>
      </rPr>
      <t>(+842)</t>
    </r>
  </si>
  <si>
    <r>
      <rPr>
        <b/>
        <sz val="11"/>
        <color theme="1"/>
        <rFont val="Aptos Narrow"/>
        <family val="2"/>
        <scheme val="minor"/>
      </rPr>
      <t>4235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(+1237)</t>
    </r>
  </si>
  <si>
    <r>
      <rPr>
        <b/>
        <sz val="11"/>
        <color theme="1"/>
        <rFont val="Aptos Narrow"/>
        <family val="2"/>
        <scheme val="minor"/>
      </rPr>
      <t>1903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(+538)</t>
    </r>
  </si>
  <si>
    <r>
      <rPr>
        <b/>
        <sz val="11"/>
        <color theme="1"/>
        <rFont val="Aptos Narrow"/>
        <family val="2"/>
        <scheme val="minor"/>
      </rPr>
      <t>508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(+897)</t>
    </r>
  </si>
  <si>
    <r>
      <rPr>
        <b/>
        <sz val="11"/>
        <color theme="1"/>
        <rFont val="Aptos Narrow"/>
        <family val="2"/>
        <scheme val="minor"/>
      </rPr>
      <t>479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(+282)</t>
    </r>
  </si>
  <si>
    <r>
      <rPr>
        <b/>
        <sz val="11"/>
        <color theme="1"/>
        <rFont val="Aptos Narrow"/>
        <family val="2"/>
        <scheme val="minor"/>
      </rPr>
      <t>560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(+209)</t>
    </r>
  </si>
  <si>
    <r>
      <rPr>
        <b/>
        <sz val="11"/>
        <color theme="1"/>
        <rFont val="Aptos Narrow"/>
        <family val="2"/>
        <scheme val="minor"/>
      </rPr>
      <t>215</t>
    </r>
    <r>
      <rPr>
        <sz val="11"/>
        <color theme="1"/>
        <rFont val="Aptos Narrow"/>
        <family val="2"/>
        <scheme val="minor"/>
      </rPr>
      <t xml:space="preserve">            </t>
    </r>
    <r>
      <rPr>
        <i/>
        <sz val="11"/>
        <color theme="1"/>
        <rFont val="Aptos Narrow"/>
        <family val="2"/>
        <scheme val="minor"/>
      </rPr>
      <t>(+49)</t>
    </r>
  </si>
  <si>
    <r>
      <rPr>
        <b/>
        <sz val="11"/>
        <color theme="1"/>
        <rFont val="Aptos Narrow"/>
        <family val="2"/>
        <scheme val="minor"/>
      </rPr>
      <t>121</t>
    </r>
    <r>
      <rPr>
        <sz val="11"/>
        <color theme="1"/>
        <rFont val="Aptos Narrow"/>
        <family val="2"/>
        <scheme val="minor"/>
      </rPr>
      <t xml:space="preserve">            </t>
    </r>
    <r>
      <rPr>
        <i/>
        <sz val="11"/>
        <color theme="1"/>
        <rFont val="Aptos Narrow"/>
        <family val="2"/>
        <scheme val="minor"/>
      </rPr>
      <t>(+85)</t>
    </r>
  </si>
  <si>
    <r>
      <rPr>
        <b/>
        <sz val="11"/>
        <color theme="1"/>
        <rFont val="Aptos Narrow"/>
        <family val="2"/>
        <scheme val="minor"/>
      </rPr>
      <t xml:space="preserve">121 </t>
    </r>
    <r>
      <rPr>
        <i/>
        <sz val="11"/>
        <color theme="1"/>
        <rFont val="Aptos Narrow"/>
        <family val="2"/>
        <scheme val="minor"/>
      </rPr>
      <t>(+171)</t>
    </r>
  </si>
  <si>
    <r>
      <rPr>
        <b/>
        <sz val="11"/>
        <color theme="1"/>
        <rFont val="Aptos Narrow"/>
        <family val="2"/>
        <scheme val="minor"/>
      </rPr>
      <t>1646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(+400)</t>
    </r>
  </si>
  <si>
    <t>n Spectra</t>
  </si>
  <si>
    <r>
      <rPr>
        <b/>
        <sz val="11"/>
        <color theme="1"/>
        <rFont val="Aptos Narrow"/>
        <family val="2"/>
        <scheme val="minor"/>
      </rPr>
      <t>4314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(+1568)</t>
    </r>
  </si>
  <si>
    <t>High-mass water clusters. No target species or hydrogen</t>
  </si>
  <si>
    <t>Highest mass water cluster at 109 AMU. No target species or hydrogen</t>
  </si>
  <si>
    <t>total</t>
  </si>
  <si>
    <r>
      <rPr>
        <b/>
        <sz val="11"/>
        <color theme="1"/>
        <rFont val="Aptos Narrow"/>
        <family val="2"/>
        <scheme val="minor"/>
      </rPr>
      <t>28145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(+6938)</t>
    </r>
  </si>
  <si>
    <t>Minor carbonate</t>
  </si>
  <si>
    <t>Major carbonate</t>
  </si>
  <si>
    <t>Concentrated Na, often with K, in water ice. Rare Phosphates</t>
  </si>
  <si>
    <t>H2O w/ major Na</t>
  </si>
  <si>
    <t>References</t>
  </si>
  <si>
    <t>Markedly Broad Peaks with long decay, Dominant mass 129</t>
  </si>
  <si>
    <t>Confident Dataset Proportion (%)</t>
  </si>
  <si>
    <t>Extended Dataset Proportion (%)</t>
  </si>
  <si>
    <t>Total Dataset Proportion (%)</t>
  </si>
  <si>
    <t>Dominant Mass</t>
  </si>
  <si>
    <t>High-mass water clusters, no peak at 78 AMU, weak 19 AMU peak</t>
  </si>
  <si>
    <t>High-mass sodiated hydroxide clusters. Narrow Peaks.</t>
  </si>
  <si>
    <t>Sodium dominant w/ regular, widely-spaced sodiated hydroxides clusters. Rare phosphate peaks at 165, 187 AMU.</t>
  </si>
  <si>
    <t>Main group, frequent prominent clustering with chloride species</t>
  </si>
  <si>
    <t>Cl</t>
  </si>
  <si>
    <t>Major  K</t>
  </si>
  <si>
    <t>Equally prominent sodium and water clusters. Narrow peaks</t>
  </si>
  <si>
    <t>Postberg et al., 2008</t>
  </si>
  <si>
    <t>~24</t>
  </si>
  <si>
    <t>Iron dominant with prominent "fast" skewed Fe and Rh peaks. Some FeS clustering</t>
  </si>
  <si>
    <t xml:space="preserve">Broad peak at 23-28, long tail of "fast" Fe and Rh at 56, 103 AMU. Narrower peak at 39-41 AMU. </t>
  </si>
  <si>
    <t>Postberg et al., 2018</t>
  </si>
  <si>
    <t>Postberg et al., 2009a</t>
  </si>
  <si>
    <t>Water-free stream particles</t>
  </si>
  <si>
    <t>Native iron dust with minor silicates and sulfide</t>
  </si>
  <si>
    <t xml:space="preserve">Silicate dust: olivine, pyroxene, feldspar (Na, Mg, Si, K, Ca, Fe) </t>
  </si>
  <si>
    <t>Target species dominate, complicating compositional understanding</t>
  </si>
  <si>
    <t>Hillier et al., 2007</t>
  </si>
  <si>
    <t>Altobelli et al., 2017; Linti et al., 2024</t>
  </si>
  <si>
    <t>Kempf et al., 2005; Postberg et al., 2009b</t>
  </si>
  <si>
    <t>n spectra for abundance caluclations</t>
  </si>
  <si>
    <t>Like the bulk dataset, these are mostly Type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</si>
</sst>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EE6D-C856-4AB9-A35D-50CC60F7D1CD}">
  <dimension ref="A1:R18"/>
  <sheetViews>
    <sheetView tabSelected="1" topLeftCell="A8" zoomScaleNormal="100" workbookViewId="0">
      <selection activeCell="E19" sqref="E19"/>
    </sheetView>
  </sheetViews>
  <sheetFormatPr defaultRowHeight="14.4" x14ac:dyDescent="0.3"/>
  <cols>
    <col min="1" max="3" width="8.88671875" style="2"/>
    <col min="4" max="4" width="17.77734375" style="2" customWidth="1"/>
    <col min="5" max="5" width="33.33203125" style="2" customWidth="1"/>
    <col min="6" max="6" width="12.109375" style="2" customWidth="1"/>
    <col min="7" max="7" width="10.21875" style="2" customWidth="1"/>
    <col min="8" max="8" width="10.21875" style="1" customWidth="1"/>
    <col min="9" max="9" width="8.88671875" style="1"/>
    <col min="10" max="10" width="16.88671875" style="2" customWidth="1"/>
    <col min="11" max="11" width="12.21875" style="2" customWidth="1"/>
    <col min="12" max="12" width="12.44140625" style="2" customWidth="1"/>
    <col min="13" max="13" width="11.21875" style="2" customWidth="1"/>
    <col min="14" max="15" width="15" style="2" customWidth="1"/>
    <col min="16" max="16384" width="8.88671875" style="2"/>
  </cols>
  <sheetData>
    <row r="1" spans="1:18" ht="45" customHeight="1" x14ac:dyDescent="0.3">
      <c r="A1" s="2" t="s">
        <v>0</v>
      </c>
      <c r="B1" s="2" t="s">
        <v>1</v>
      </c>
      <c r="C1" s="2" t="s">
        <v>45</v>
      </c>
      <c r="D1" s="29" t="s">
        <v>2</v>
      </c>
      <c r="E1" s="29"/>
      <c r="F1" s="29" t="s">
        <v>3</v>
      </c>
      <c r="G1" s="29"/>
      <c r="H1" s="1" t="s">
        <v>60</v>
      </c>
      <c r="I1" s="1" t="s">
        <v>10</v>
      </c>
      <c r="J1" s="2" t="s">
        <v>55</v>
      </c>
      <c r="K1" s="2" t="s">
        <v>57</v>
      </c>
      <c r="L1" s="2" t="s">
        <v>58</v>
      </c>
      <c r="M1" s="2" t="s">
        <v>59</v>
      </c>
      <c r="P1" s="28" t="s">
        <v>81</v>
      </c>
      <c r="Q1" s="28"/>
      <c r="R1" s="28"/>
    </row>
    <row r="2" spans="1:18" s="4" customFormat="1" ht="28.8" customHeight="1" x14ac:dyDescent="0.3">
      <c r="A2" s="24">
        <v>1</v>
      </c>
      <c r="B2" s="6" t="s">
        <v>4</v>
      </c>
      <c r="C2" s="6" t="s">
        <v>34</v>
      </c>
      <c r="D2" s="24" t="s">
        <v>18</v>
      </c>
      <c r="E2" s="6" t="s">
        <v>47</v>
      </c>
      <c r="F2" s="24" t="s">
        <v>21</v>
      </c>
      <c r="G2" s="24"/>
      <c r="H2" s="24">
        <v>19</v>
      </c>
      <c r="I2" s="6" t="s">
        <v>11</v>
      </c>
      <c r="J2" s="24" t="s">
        <v>68</v>
      </c>
      <c r="K2" s="12">
        <f t="shared" ref="K2:K12" si="0">100*(P2/P$16)</f>
        <v>36.238512861399016</v>
      </c>
      <c r="L2" s="12">
        <f t="shared" ref="L2:L12" si="1">100*(Q2/Q$16)</f>
        <v>15.333453172748518</v>
      </c>
      <c r="M2" s="12">
        <f t="shared" ref="M2:M12" si="2">100*(R2/R$16)</f>
        <v>32.282098387426004</v>
      </c>
      <c r="P2" s="4">
        <v>8636</v>
      </c>
      <c r="Q2" s="4">
        <v>853</v>
      </c>
      <c r="R2" s="4">
        <f>P2+Q2</f>
        <v>9489</v>
      </c>
    </row>
    <row r="3" spans="1:18" ht="28.8" customHeight="1" x14ac:dyDescent="0.3">
      <c r="A3" s="25"/>
      <c r="B3" s="7" t="s">
        <v>5</v>
      </c>
      <c r="C3" s="7" t="s">
        <v>35</v>
      </c>
      <c r="D3" s="25"/>
      <c r="E3" s="7" t="s">
        <v>48</v>
      </c>
      <c r="F3" s="25"/>
      <c r="G3" s="25"/>
      <c r="H3" s="25"/>
      <c r="I3" s="7" t="s">
        <v>12</v>
      </c>
      <c r="J3" s="25"/>
      <c r="K3" s="13">
        <f t="shared" si="0"/>
        <v>15.630900927363516</v>
      </c>
      <c r="L3" s="13">
        <f t="shared" si="1"/>
        <v>15.135718137695489</v>
      </c>
      <c r="M3" s="13">
        <f t="shared" si="2"/>
        <v>15.537184459413487</v>
      </c>
      <c r="P3" s="2">
        <v>3725</v>
      </c>
      <c r="Q3" s="2">
        <v>842</v>
      </c>
      <c r="R3" s="2">
        <f t="shared" ref="R3:R16" si="3">P3+Q3</f>
        <v>4567</v>
      </c>
    </row>
    <row r="4" spans="1:18" ht="42" customHeight="1" x14ac:dyDescent="0.3">
      <c r="A4" s="25"/>
      <c r="B4" s="7" t="s">
        <v>6</v>
      </c>
      <c r="C4" s="7" t="s">
        <v>36</v>
      </c>
      <c r="D4" s="25"/>
      <c r="E4" s="7" t="s">
        <v>19</v>
      </c>
      <c r="F4" s="25"/>
      <c r="G4" s="25"/>
      <c r="H4" s="25"/>
      <c r="I4" s="7">
        <v>1</v>
      </c>
      <c r="J4" s="25"/>
      <c r="K4" s="13">
        <f t="shared" si="0"/>
        <v>17.770970584532751</v>
      </c>
      <c r="L4" s="13">
        <f t="shared" si="1"/>
        <v>22.236203487326982</v>
      </c>
      <c r="M4" s="13">
        <f t="shared" si="2"/>
        <v>18.616044090630741</v>
      </c>
      <c r="P4" s="2">
        <v>4235</v>
      </c>
      <c r="Q4" s="2">
        <v>1237</v>
      </c>
      <c r="R4" s="2">
        <f t="shared" si="3"/>
        <v>5472</v>
      </c>
    </row>
    <row r="5" spans="1:18" s="5" customFormat="1" ht="28.8" customHeight="1" x14ac:dyDescent="0.3">
      <c r="A5" s="27"/>
      <c r="B5" s="8" t="s">
        <v>7</v>
      </c>
      <c r="C5" s="8" t="s">
        <v>37</v>
      </c>
      <c r="D5" s="27" t="s">
        <v>22</v>
      </c>
      <c r="E5" s="27"/>
      <c r="F5" s="27"/>
      <c r="G5" s="27"/>
      <c r="H5" s="27"/>
      <c r="I5" s="8">
        <v>7</v>
      </c>
      <c r="J5" s="25"/>
      <c r="K5" s="14">
        <f t="shared" si="0"/>
        <v>7.9853971717510808</v>
      </c>
      <c r="L5" s="14">
        <f t="shared" si="1"/>
        <v>9.6710408053208692</v>
      </c>
      <c r="M5" s="14">
        <f t="shared" si="2"/>
        <v>8.3044158671837778</v>
      </c>
      <c r="P5" s="5">
        <v>1903</v>
      </c>
      <c r="Q5" s="5">
        <v>538</v>
      </c>
      <c r="R5" s="5">
        <f t="shared" si="3"/>
        <v>2441</v>
      </c>
    </row>
    <row r="6" spans="1:18" s="4" customFormat="1" ht="28.8" x14ac:dyDescent="0.3">
      <c r="A6" s="24">
        <v>2</v>
      </c>
      <c r="B6" s="6" t="s">
        <v>8</v>
      </c>
      <c r="C6" s="6" t="s">
        <v>39</v>
      </c>
      <c r="D6" s="24" t="s">
        <v>24</v>
      </c>
      <c r="E6" s="6" t="s">
        <v>61</v>
      </c>
      <c r="F6" s="24" t="s">
        <v>30</v>
      </c>
      <c r="G6" s="9"/>
      <c r="H6" s="6">
        <v>55</v>
      </c>
      <c r="I6" s="6" t="s">
        <v>20</v>
      </c>
      <c r="J6" s="25"/>
      <c r="K6" s="12">
        <f t="shared" si="0"/>
        <v>2.0099869917334567</v>
      </c>
      <c r="L6" s="12">
        <f t="shared" si="1"/>
        <v>5.0692072622685602</v>
      </c>
      <c r="M6" s="12">
        <f t="shared" si="2"/>
        <v>2.5889637340953935</v>
      </c>
      <c r="P6" s="4">
        <v>479</v>
      </c>
      <c r="Q6" s="4">
        <v>282</v>
      </c>
      <c r="R6" s="4">
        <f t="shared" si="3"/>
        <v>761</v>
      </c>
    </row>
    <row r="7" spans="1:18" s="5" customFormat="1" ht="44.4" x14ac:dyDescent="0.3">
      <c r="A7" s="27"/>
      <c r="B7" s="8" t="s">
        <v>9</v>
      </c>
      <c r="C7" s="8" t="s">
        <v>38</v>
      </c>
      <c r="D7" s="27"/>
      <c r="E7" s="8" t="s">
        <v>23</v>
      </c>
      <c r="F7" s="27"/>
      <c r="G7" s="8" t="s">
        <v>26</v>
      </c>
      <c r="H7" s="8">
        <v>37</v>
      </c>
      <c r="I7" s="8">
        <v>1</v>
      </c>
      <c r="J7" s="8" t="s">
        <v>72</v>
      </c>
      <c r="K7" s="14">
        <f t="shared" si="0"/>
        <v>2.1316772271411186</v>
      </c>
      <c r="L7" s="14">
        <f t="shared" si="1"/>
        <v>16.124393312960635</v>
      </c>
      <c r="M7" s="14">
        <f t="shared" si="2"/>
        <v>4.7798870517792746</v>
      </c>
      <c r="P7" s="5">
        <v>508</v>
      </c>
      <c r="Q7" s="5">
        <v>897</v>
      </c>
      <c r="R7" s="5">
        <f t="shared" si="3"/>
        <v>1405</v>
      </c>
    </row>
    <row r="8" spans="1:18" s="4" customFormat="1" ht="43.2" customHeight="1" x14ac:dyDescent="0.3">
      <c r="A8" s="24">
        <v>3</v>
      </c>
      <c r="B8" s="6" t="s">
        <v>13</v>
      </c>
      <c r="C8" s="6" t="s">
        <v>41</v>
      </c>
      <c r="D8" s="24" t="s">
        <v>67</v>
      </c>
      <c r="E8" s="24"/>
      <c r="F8" s="24" t="s">
        <v>54</v>
      </c>
      <c r="G8" s="24"/>
      <c r="H8" s="24">
        <v>23</v>
      </c>
      <c r="I8" s="6">
        <v>6</v>
      </c>
      <c r="J8" s="24" t="s">
        <v>73</v>
      </c>
      <c r="K8" s="12">
        <f t="shared" si="0"/>
        <v>0.90218622802232384</v>
      </c>
      <c r="L8" s="12">
        <f t="shared" si="1"/>
        <v>0.88081970159985623</v>
      </c>
      <c r="M8" s="12">
        <f t="shared" si="2"/>
        <v>0.8981424780567463</v>
      </c>
      <c r="P8" s="4">
        <v>215</v>
      </c>
      <c r="Q8" s="4">
        <v>49</v>
      </c>
      <c r="R8" s="4">
        <f t="shared" si="3"/>
        <v>264</v>
      </c>
    </row>
    <row r="9" spans="1:18" ht="28.8" x14ac:dyDescent="0.3">
      <c r="A9" s="25"/>
      <c r="B9" s="7" t="s">
        <v>17</v>
      </c>
      <c r="C9" s="7" t="s">
        <v>44</v>
      </c>
      <c r="D9" s="25" t="s">
        <v>63</v>
      </c>
      <c r="E9" s="7" t="s">
        <v>64</v>
      </c>
      <c r="F9" s="25" t="s">
        <v>53</v>
      </c>
      <c r="G9" s="7" t="s">
        <v>65</v>
      </c>
      <c r="H9" s="25"/>
      <c r="I9" s="7" t="s">
        <v>32</v>
      </c>
      <c r="J9" s="25"/>
      <c r="K9" s="13">
        <f t="shared" si="0"/>
        <v>6.9069699131383482</v>
      </c>
      <c r="L9" s="13">
        <f t="shared" si="1"/>
        <v>7.190364911019234</v>
      </c>
      <c r="M9" s="13">
        <f t="shared" si="2"/>
        <v>6.9606042049397843</v>
      </c>
      <c r="P9" s="2">
        <v>1646</v>
      </c>
      <c r="Q9" s="2">
        <v>400</v>
      </c>
      <c r="R9" s="2">
        <f>P9+Q9</f>
        <v>2046</v>
      </c>
    </row>
    <row r="10" spans="1:18" ht="34.799999999999997" customHeight="1" x14ac:dyDescent="0.3">
      <c r="A10" s="25"/>
      <c r="B10" s="7" t="s">
        <v>14</v>
      </c>
      <c r="C10" s="7" t="s">
        <v>42</v>
      </c>
      <c r="D10" s="25"/>
      <c r="E10" s="7" t="s">
        <v>31</v>
      </c>
      <c r="F10" s="25"/>
      <c r="G10" s="7" t="s">
        <v>66</v>
      </c>
      <c r="H10" s="25"/>
      <c r="I10" s="7">
        <v>10</v>
      </c>
      <c r="J10" s="25"/>
      <c r="K10" s="13">
        <f t="shared" si="0"/>
        <v>0.50774201670093577</v>
      </c>
      <c r="L10" s="13">
        <f t="shared" si="1"/>
        <v>1.5279525435915873</v>
      </c>
      <c r="M10" s="13">
        <f t="shared" si="2"/>
        <v>0.70082329727155201</v>
      </c>
      <c r="P10" s="2">
        <v>121</v>
      </c>
      <c r="Q10" s="2">
        <v>85</v>
      </c>
      <c r="R10" s="2">
        <f t="shared" si="3"/>
        <v>206</v>
      </c>
    </row>
    <row r="11" spans="1:18" ht="28.8" x14ac:dyDescent="0.3">
      <c r="A11" s="25"/>
      <c r="B11" s="7" t="s">
        <v>16</v>
      </c>
      <c r="C11" s="7" t="s">
        <v>43</v>
      </c>
      <c r="D11" s="25"/>
      <c r="E11" s="7" t="s">
        <v>56</v>
      </c>
      <c r="F11" s="25"/>
      <c r="G11" s="7" t="s">
        <v>52</v>
      </c>
      <c r="H11" s="25"/>
      <c r="I11" s="7">
        <v>13</v>
      </c>
      <c r="J11" s="25"/>
      <c r="K11" s="13">
        <f t="shared" si="0"/>
        <v>0.50774201670093577</v>
      </c>
      <c r="L11" s="13">
        <f t="shared" si="1"/>
        <v>3.0738809994607226</v>
      </c>
      <c r="M11" s="13">
        <f t="shared" si="2"/>
        <v>0.99340001360821939</v>
      </c>
      <c r="P11" s="2">
        <v>121</v>
      </c>
      <c r="Q11" s="2">
        <v>171</v>
      </c>
      <c r="R11" s="2">
        <f t="shared" si="3"/>
        <v>292</v>
      </c>
    </row>
    <row r="12" spans="1:18" ht="28.8" x14ac:dyDescent="0.3">
      <c r="A12" s="27"/>
      <c r="B12" s="7" t="s">
        <v>15</v>
      </c>
      <c r="C12" s="7" t="s">
        <v>40</v>
      </c>
      <c r="D12" s="27"/>
      <c r="E12" s="7" t="s">
        <v>62</v>
      </c>
      <c r="F12" s="27"/>
      <c r="G12" s="7" t="s">
        <v>51</v>
      </c>
      <c r="H12" s="7">
        <v>63</v>
      </c>
      <c r="I12" s="7">
        <v>12</v>
      </c>
      <c r="J12" s="27"/>
      <c r="K12" s="13">
        <f t="shared" si="0"/>
        <v>2.3498804078720994</v>
      </c>
      <c r="L12" s="13">
        <f t="shared" si="1"/>
        <v>3.7569656660075501</v>
      </c>
      <c r="M12" s="13">
        <f t="shared" si="2"/>
        <v>2.6161801728243859</v>
      </c>
      <c r="P12" s="2">
        <v>560</v>
      </c>
      <c r="Q12" s="2">
        <v>209</v>
      </c>
      <c r="R12" s="2">
        <f>P12+Q12</f>
        <v>769</v>
      </c>
    </row>
    <row r="13" spans="1:18" s="4" customFormat="1" ht="45" customHeight="1" x14ac:dyDescent="0.3">
      <c r="A13" s="24">
        <v>4</v>
      </c>
      <c r="B13" s="6" t="s">
        <v>25</v>
      </c>
      <c r="C13" s="10">
        <v>498</v>
      </c>
      <c r="D13" s="24" t="s">
        <v>77</v>
      </c>
      <c r="E13" s="24"/>
      <c r="F13" s="24" t="s">
        <v>74</v>
      </c>
      <c r="G13" s="24"/>
      <c r="H13" s="6">
        <v>12</v>
      </c>
      <c r="I13" s="6">
        <v>7</v>
      </c>
      <c r="J13" s="6" t="s">
        <v>80</v>
      </c>
      <c r="K13" s="12">
        <f>100*(P13/P$16)</f>
        <v>2.0897150770005455</v>
      </c>
      <c r="L13" s="12"/>
      <c r="M13" s="12">
        <f>100*(R13/R$16)</f>
        <v>1.6942233108797715</v>
      </c>
      <c r="P13" s="4">
        <v>498</v>
      </c>
      <c r="Q13" s="4">
        <v>0</v>
      </c>
      <c r="R13" s="4">
        <f t="shared" si="3"/>
        <v>498</v>
      </c>
    </row>
    <row r="14" spans="1:18" ht="43.2" customHeight="1" x14ac:dyDescent="0.3">
      <c r="A14" s="25"/>
      <c r="B14" s="7" t="s">
        <v>27</v>
      </c>
      <c r="C14" s="11">
        <v>338</v>
      </c>
      <c r="D14" s="25" t="s">
        <v>71</v>
      </c>
      <c r="E14" s="25"/>
      <c r="F14" s="25" t="s">
        <v>76</v>
      </c>
      <c r="G14" s="25"/>
      <c r="H14" s="7" t="s">
        <v>69</v>
      </c>
      <c r="I14" s="7" t="s">
        <v>29</v>
      </c>
      <c r="J14" s="7" t="s">
        <v>79</v>
      </c>
      <c r="K14" s="13">
        <f>100*(P14/P$16)</f>
        <v>1.4183206747513741</v>
      </c>
      <c r="L14" s="13"/>
      <c r="M14" s="13">
        <f>100*(R14/R$16)</f>
        <v>1.1498945362999251</v>
      </c>
      <c r="P14" s="2">
        <v>338</v>
      </c>
      <c r="Q14" s="2">
        <v>0</v>
      </c>
      <c r="R14" s="2">
        <f t="shared" si="3"/>
        <v>338</v>
      </c>
    </row>
    <row r="15" spans="1:18" s="18" customFormat="1" ht="31.8" customHeight="1" thickBot="1" x14ac:dyDescent="0.35">
      <c r="A15" s="26"/>
      <c r="B15" s="15" t="s">
        <v>28</v>
      </c>
      <c r="C15" s="16">
        <v>846</v>
      </c>
      <c r="D15" s="26" t="s">
        <v>70</v>
      </c>
      <c r="E15" s="26"/>
      <c r="F15" s="26" t="s">
        <v>75</v>
      </c>
      <c r="G15" s="26"/>
      <c r="H15" s="15">
        <v>56</v>
      </c>
      <c r="I15" s="15">
        <v>0</v>
      </c>
      <c r="J15" s="15" t="s">
        <v>78</v>
      </c>
      <c r="K15" s="17">
        <f>100*(P15/P$16)</f>
        <v>3.5499979018924934</v>
      </c>
      <c r="L15" s="17"/>
      <c r="M15" s="17">
        <f>100*(R15/R$16)</f>
        <v>2.8781383955909368</v>
      </c>
      <c r="P15" s="18">
        <v>846</v>
      </c>
      <c r="Q15" s="18">
        <v>0</v>
      </c>
      <c r="R15" s="18">
        <f t="shared" si="3"/>
        <v>846</v>
      </c>
    </row>
    <row r="16" spans="1:18" s="22" customFormat="1" ht="29.4" thickBot="1" x14ac:dyDescent="0.35">
      <c r="A16" s="19">
        <v>0</v>
      </c>
      <c r="B16" s="19"/>
      <c r="C16" s="19" t="s">
        <v>46</v>
      </c>
      <c r="D16" s="19" t="s">
        <v>33</v>
      </c>
      <c r="E16" s="19" t="s">
        <v>82</v>
      </c>
      <c r="F16" s="20"/>
      <c r="G16" s="20"/>
      <c r="H16" s="19"/>
      <c r="I16" s="21"/>
      <c r="K16" s="23">
        <f>100*4314/28145</f>
        <v>15.327766921300409</v>
      </c>
      <c r="L16" s="23">
        <f>100*1568/6938</f>
        <v>22.600172960507351</v>
      </c>
      <c r="M16" s="23">
        <f>100*(4313+1568)/(6938+28145)</f>
        <v>16.763104637573754</v>
      </c>
      <c r="P16" s="22">
        <f>SUM(P2:P15)</f>
        <v>23831</v>
      </c>
      <c r="Q16" s="22">
        <f>SUM(Q2:Q15)</f>
        <v>5563</v>
      </c>
      <c r="R16" s="22">
        <f t="shared" si="3"/>
        <v>29394</v>
      </c>
    </row>
    <row r="17" spans="1:11" ht="28.8" x14ac:dyDescent="0.3">
      <c r="A17" s="7" t="s">
        <v>49</v>
      </c>
      <c r="B17" s="7"/>
      <c r="C17" s="7" t="s">
        <v>50</v>
      </c>
      <c r="K17" s="3"/>
    </row>
    <row r="18" spans="1:11" x14ac:dyDescent="0.3">
      <c r="B18" s="2">
        <v>28145</v>
      </c>
      <c r="C18" s="2">
        <f>28145+6938</f>
        <v>35083</v>
      </c>
    </row>
  </sheetData>
  <mergeCells count="26">
    <mergeCell ref="D1:E1"/>
    <mergeCell ref="D5:E5"/>
    <mergeCell ref="D6:D7"/>
    <mergeCell ref="D2:D4"/>
    <mergeCell ref="F6:F7"/>
    <mergeCell ref="A2:A5"/>
    <mergeCell ref="A6:A7"/>
    <mergeCell ref="F2:G5"/>
    <mergeCell ref="D9:D12"/>
    <mergeCell ref="D8:E8"/>
    <mergeCell ref="A8:A12"/>
    <mergeCell ref="A13:A15"/>
    <mergeCell ref="F9:F12"/>
    <mergeCell ref="F8:G8"/>
    <mergeCell ref="F13:G13"/>
    <mergeCell ref="D13:E13"/>
    <mergeCell ref="D14:E14"/>
    <mergeCell ref="D15:E15"/>
    <mergeCell ref="F14:G14"/>
    <mergeCell ref="J2:J6"/>
    <mergeCell ref="F15:G15"/>
    <mergeCell ref="J8:J12"/>
    <mergeCell ref="P1:R1"/>
    <mergeCell ref="H2:H5"/>
    <mergeCell ref="H8:H1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Thyer, Benjamin J.</dc:creator>
  <cp:lastModifiedBy>Thyer, Benjamin J.</cp:lastModifiedBy>
  <dcterms:created xsi:type="dcterms:W3CDTF">2026-01-03T20:34:56Z</dcterms:created>
  <dcterms:modified xsi:type="dcterms:W3CDTF">2026-01-13T04:19:06Z</dcterms:modified>
</cp:coreProperties>
</file>